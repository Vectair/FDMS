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5615e802a4f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ediation Register" sheetId="1" r:id="R68fd01b1deef412a"/>
    <x:sheet xmlns:r="http://schemas.openxmlformats.org/officeDocument/2006/relationships" name="Workstreams" sheetId="2" r:id="Rbbd087925a2d49e7"/>
    <x:sheet xmlns:r="http://schemas.openxmlformats.org/officeDocument/2006/relationships" name="First Wave Tickets" sheetId="3" r:id="Rfbae6206a1d441ab"/>
    <x:sheet xmlns:r="http://schemas.openxmlformats.org/officeDocument/2006/relationships" name="Dashboard" sheetId="4" r:id="R0d6c98ea05ff4ed3"/>
    <x:sheet xmlns:r="http://schemas.openxmlformats.org/officeDocument/2006/relationships" name="Disposition Log" sheetId="5" r:id="R5eb39f0c85474bc7"/>
    <x:sheet xmlns:r="http://schemas.openxmlformats.org/officeDocument/2006/relationships" name="Sources" sheetId="6" r:id="R86de9c49581c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253eed39647c3" /><Relationship Type="http://schemas.openxmlformats.org/officeDocument/2006/relationships/theme" Target="/xl/theme/theme1.xml" Id="R2a570fd8722d418b" /><Relationship Type="http://schemas.openxmlformats.org/officeDocument/2006/relationships/sharedStrings" Target="/xl/sharedStrings.xml" Id="Rb121cba877234fa8" /><Relationship Type="http://schemas.openxmlformats.org/officeDocument/2006/relationships/worksheet" Target="/xl/worksheets/sheet1.xml" Id="R68fd01b1deef412a" /><Relationship Type="http://schemas.openxmlformats.org/officeDocument/2006/relationships/worksheet" Target="/xl/worksheets/sheet2.xml" Id="Rbbd087925a2d49e7" /><Relationship Type="http://schemas.openxmlformats.org/officeDocument/2006/relationships/worksheet" Target="/xl/worksheets/sheet3.xml" Id="Rfbae6206a1d441ab" /><Relationship Type="http://schemas.openxmlformats.org/officeDocument/2006/relationships/worksheet" Target="/xl/worksheets/sheet4.xml" Id="R0d6c98ea05ff4ed3" /><Relationship Type="http://schemas.openxmlformats.org/officeDocument/2006/relationships/worksheet" Target="/xl/worksheets/sheet5.xml" Id="R5eb39f0c85474bc7" /><Relationship Type="http://schemas.openxmlformats.org/officeDocument/2006/relationships/worksheet" Target="/xl/worksheets/sheet6.xml" Id="R86de9c49581c41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67867388834cd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Remediation Items by Priority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'Dashboard'!$F$4:$F$7</c:f>
              <c:strCache>
                <c:ptCount val="0"/>
              </c:strCache>
            </c:strRef>
          </c:cat>
          <c:val>
            <c:numRef>
              <c:f>'Dashboard'!$G$4:$G$7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67867388834cd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mediationRegister" displayName="RemediationRegister" ref="A1:M32" headerRowCount="1" totalsRowCount="0" totalsRowShown="0">
  <x:tableColumns count="13">
    <x:tableColumn id="1" name="ID"/>
    <x:tableColumn id="2" name="Workstream"/>
    <x:tableColumn id="3" name="Priority"/>
    <x:tableColumn id="4" name="V1 Disposition"/>
    <x:tableColumn id="5" name="Root Cause / Improvement"/>
    <x:tableColumn id="6" name="Audit Sources"/>
    <x:tableColumn id="7" name="Highest Severity"/>
    <x:tableColumn id="8" name="Primary Risk"/>
    <x:tableColumn id="9" name="Dependencies"/>
    <x:tableColumn id="10" name="Proposed Ticket"/>
    <x:tableColumn id="11" name="Verification / Closure Evidence"/>
    <x:tableColumn id="12" name="Status"/>
    <x:tableColumn id="13" name="Ow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streamsTable" displayName="WorkstreamsTable" ref="A1:E10" headerRowCount="1" totalsRowCount="0" totalsRowShown="0">
  <x:tableColumns count="5">
    <x:tableColumn id="1" name="Workstream"/>
    <x:tableColumn id="2" name="Objective"/>
    <x:tableColumn id="3" name="Priority"/>
    <x:tableColumn id="4" name="Register Items"/>
    <x:tableColumn id="5" name="Execution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rstWaveTickets" displayName="FirstWaveTickets" ref="A1:H8" headerRowCount="1" totalsRowCount="0" totalsRowShown="0">
  <x:tableColumns count="8">
    <x:tableColumn id="1" name="Sequence"/>
    <x:tableColumn id="2" name="Ticket"/>
    <x:tableColumn id="3" name="Title"/>
    <x:tableColumn id="4" name="Why First"/>
    <x:tableColumn id="5" name="Scope"/>
    <x:tableColumn id="6" name="Depends On"/>
    <x:tableColumn id="7" name="Acceptance Criteria"/>
    <x:tableColumn id="8" name="Do Not Incl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f83f5c4bfe4a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196101d86845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a41e4145be54d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2c9e1297cd74a6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0" hidden="0" customWidth="1"/>
    <x:col min="4" max="4" width="24" hidden="0" customWidth="1"/>
    <x:col min="5" max="5" width="42" hidden="0" customWidth="1"/>
    <x:col min="6" max="6" width="22" hidden="0" customWidth="1"/>
    <x:col min="7" max="7" width="15" hidden="0" customWidth="1"/>
    <x:col min="8" max="8" width="38" hidden="0" customWidth="1"/>
    <x:col min="9" max="9" width="22" hidden="0" customWidth="1"/>
    <x:col min="10" max="10" width="30" hidden="0" customWidth="1"/>
    <x:col min="11" max="11" width="42" hidden="0" customWidth="1"/>
    <x:col min="12" max="12" width="14" hidden="0" customWidth="1"/>
    <x:col min="13" max="13" width="18" hidden="0" customWidth="1"/>
  </x:cols>
  <x:sheetData>
    <x:row r="1">
      <x:c r="A1" s="5" t="str">
        <x:v>ID</x:v>
      </x:c>
      <x:c r="B1" s="5" t="str">
        <x:v>Workstream</x:v>
      </x:c>
      <x:c r="C1" s="5" t="str">
        <x:v>Priority</x:v>
      </x:c>
      <x:c r="D1" s="5" t="str">
        <x:v>V1 Disposition</x:v>
      </x:c>
      <x:c r="E1" s="5" t="str">
        <x:v>Root Cause / Improvement</x:v>
      </x:c>
      <x:c r="F1" s="5" t="str">
        <x:v>Audit Sources</x:v>
      </x:c>
      <x:c r="G1" s="5" t="str">
        <x:v>Highest Severity</x:v>
      </x:c>
      <x:c r="H1" s="5" t="str">
        <x:v>Primary Risk</x:v>
      </x:c>
      <x:c r="I1" s="5" t="str">
        <x:v>Dependencies</x:v>
      </x:c>
      <x:c r="J1" s="5" t="str">
        <x:v>Proposed Ticket</x:v>
      </x:c>
      <x:c r="K1" s="5" t="str">
        <x:v>Verification / Closure Evidence</x:v>
      </x:c>
      <x:c r="L1" s="5" t="str">
        <x:v>Status</x:v>
      </x:c>
      <x:c r="M1" s="5" t="str">
        <x:v>Owner</x:v>
      </x:c>
    </x:row>
    <x:row r="2">
      <x:c r="A2" s="10" t="str">
        <x:v>REM-001</x:v>
      </x:c>
      <x:c r="B2" s="10" t="str">
        <x:v>Persistence &amp; integrity</x:v>
      </x:c>
      <x:c r="C2" s="10" t="str">
        <x:v>P0</x:v>
      </x:c>
      <x:c r="D2" s="10" t="str">
        <x:v>Fix before V1</x:v>
      </x:c>
      <x:c r="E2" s="10" t="str">
        <x:v>Introduce a result-bearing persistence boundary: writes/removes must return durable success/failure with structured error context.</x:v>
      </x:c>
      <x:c r="F2" s="10" t="str">
        <x:v>Audits 2, 5, 10</x:v>
      </x:c>
      <x:c r="G2" s="10" t="str">
        <x:v>Critical</x:v>
      </x:c>
      <x:c r="H2" s="10" t="str">
        <x:v>False-success UI and undurable operational mutations</x:v>
      </x:c>
      <x:c r="I2" s="10" t="str">
        <x:v>None</x:v>
      </x:c>
      <x:c r="J2" s="10" t="str">
        <x:v>T1 — Result-bearing persistence contract</x:v>
      </x:c>
      <x:c r="K2" s="10" t="str">
        <x:v>Failure-injection tests prove callers can distinguish durable success, failure and unavailable storage.</x:v>
      </x:c>
      <x:c r="L2" s="10" t="str">
        <x:v>Not started</x:v>
      </x:c>
      <x:c r="M2" s="10" t="str">
        <x:v>Implementer</x:v>
      </x:c>
    </x:row>
    <x:row r="3">
      <x:c r="A3" s="10" t="str">
        <x:v>REM-002</x:v>
      </x:c>
      <x:c r="B3" s="10" t="str">
        <x:v>Persistence &amp; integrity</x:v>
      </x:c>
      <x:c r="C3" s="10" t="str">
        <x:v>P0</x:v>
      </x:c>
      <x:c r="D3" s="10" t="str">
        <x:v>Fix before V1</x:v>
      </x:c>
      <x:c r="E3" s="10" t="str">
        <x:v>Introduce explicit degraded/read-only storage mode when local persistence is unavailable or unusable.</x:v>
      </x:c>
      <x:c r="F3" s="10" t="str">
        <x:v>Audits 2, 5</x:v>
      </x:c>
      <x:c r="G3" s="10" t="str">
        <x:v>Critical</x:v>
      </x:c>
      <x:c r="H3" s="10" t="str">
        <x:v>Operators can enter operational data that cannot persist</x:v>
      </x:c>
      <x:c r="I3" s="10" t="str">
        <x:v>REM-001</x:v>
      </x:c>
      <x:c r="J3" s="10" t="str">
        <x:v>T2 — Degraded storage mode</x:v>
      </x:c>
      <x:c r="K3" s="10" t="str">
        <x:v>Simulated unavailable/quota/corrupt storage blocks consequential writes and clearly informs operator.</x:v>
      </x:c>
      <x:c r="L3" s="10" t="str">
        <x:v>Not started</x:v>
      </x:c>
      <x:c r="M3" s="10" t="str">
        <x:v>Implementer</x:v>
      </x:c>
    </x:row>
    <x:row r="4">
      <x:c r="A4" s="10" t="str">
        <x:v>REM-003</x:v>
      </x:c>
      <x:c r="B4" s="10" t="str">
        <x:v>Backup &amp; restore</x:v>
      </x:c>
      <x:c r="C4" s="10" t="str">
        <x:v>P0</x:v>
      </x:c>
      <x:c r="D4" s="10" t="str">
        <x:v>Fix before V1</x:v>
      </x:c>
      <x:c r="E4" s="10" t="str">
        <x:v>Make current-format restore transactional through staging + verified commit or exact rollback snapshot.</x:v>
      </x:c>
      <x:c r="F4" s="10" t="str">
        <x:v>Audits 2, 5, 10, 12</x:v>
      </x:c>
      <x:c r="G4" s="10" t="str">
        <x:v>High</x:v>
      </x:c>
      <x:c r="H4" s="10" t="str">
        <x:v>Partial restore can leave hybrid installation</x:v>
      </x:c>
      <x:c r="I4" s="10" t="str">
        <x:v>REM-001</x:v>
      </x:c>
      <x:c r="J4" s="10" t="str">
        <x:v>T3 — Transactional restore core</x:v>
      </x:c>
      <x:c r="K4" s="10" t="str">
        <x:v>Injected failure at every mutation boundary leaves either pre-restore or fully restored installation, never hybrid.</x:v>
      </x:c>
      <x:c r="L4" s="10" t="str">
        <x:v>Not started</x:v>
      </x:c>
      <x:c r="M4" s="10" t="str">
        <x:v>Implementer</x:v>
      </x:c>
    </x:row>
    <x:row r="5">
      <x:c r="A5" s="10" t="str">
        <x:v>REM-004</x:v>
      </x:c>
      <x:c r="B5" s="10" t="str">
        <x:v>Backup &amp; restore</x:v>
      </x:c>
      <x:c r="C5" s="10" t="str">
        <x:v>P0</x:v>
      </x:c>
      <x:c r="D5" s="10" t="str">
        <x:v>Fix before V1</x:v>
      </x:c>
      <x:c r="E5" s="10" t="str">
        <x:v>Define exact replace-vs-overlay semantics; validate records semantically; bound backup/import size, depth and counts.</x:v>
      </x:c>
      <x:c r="F5" s="10" t="str">
        <x:v>Audits 6, 10, 12</x:v>
      </x:c>
      <x:c r="G5" s="10" t="str">
        <x:v>High</x:v>
      </x:c>
      <x:c r="H5" s="10" t="str">
        <x:v>Malformed/partial backup can destructively replace valid state</x:v>
      </x:c>
      <x:c r="I5" s="10" t="str">
        <x:v>REM-003</x:v>
      </x:c>
      <x:c r="J5" s="10" t="str">
        <x:v>T4 — Restore validation and replacement contract</x:v>
      </x:c>
      <x:c r="K5" s="10" t="str">
        <x:v>Preflight shows exact target-state plan; malformed/oversized records are blocked before mutation.</x:v>
      </x:c>
      <x:c r="L5" s="10" t="str">
        <x:v>Not started</x:v>
      </x:c>
      <x:c r="M5" s="10" t="str">
        <x:v>Implementer</x:v>
      </x:c>
    </x:row>
    <x:row r="6">
      <x:c r="A6" s="10" t="str">
        <x:v>REM-005</x:v>
      </x:c>
      <x:c r="B6" s="10" t="str">
        <x:v>Domain command layer</x:v>
      </x:c>
      <x:c r="C6" s="10" t="str">
        <x:v>P0</x:v>
      </x:c>
      <x:c r="D6" s="10" t="str">
        <x:v>Fix before V1</x:v>
      </x:c>
      <x:c r="E6" s="10" t="str">
        <x:v>Create authoritative command layer for consequential multi-store operations instead of UI handlers coordinating mutations directly.</x:v>
      </x:c>
      <x:c r="F6" s="10" t="str">
        <x:v>Audits 2, 3, 5</x:v>
      </x:c>
      <x:c r="G6" s="10" t="str">
        <x:v>Critical</x:v>
      </x:c>
      <x:c r="H6" s="10" t="str">
        <x:v>Partial lifecycle operations and inconsistent side effects</x:v>
      </x:c>
      <x:c r="I6" s="10" t="str">
        <x:v>REM-001</x:v>
      </x:c>
      <x:c r="J6" s="10" t="str">
        <x:v>T5 — Domain command framework</x:v>
      </x:c>
      <x:c r="K6" s="10" t="str">
        <x:v>Movement/booking/cancel/delete commands return structured outcome and own audit/persistence policy.</x:v>
      </x:c>
      <x:c r="L6" s="10" t="str">
        <x:v>Not started</x:v>
      </x:c>
      <x:c r="M6" s="10" t="str">
        <x:v>Implementer</x:v>
      </x:c>
    </x:row>
    <x:row r="7">
      <x:c r="A7" s="10" t="str">
        <x:v>REM-006</x:v>
      </x:c>
      <x:c r="B7" s="10" t="str">
        <x:v>Identity &amp; concurrency</x:v>
      </x:c>
      <x:c r="C7" s="10" t="str">
        <x:v>P0</x:v>
      </x:c>
      <x:c r="D7" s="10" t="str">
        <x:v>Fix before V1</x:v>
      </x:c>
      <x:c r="E7" s="10" t="str">
        <x:v>Add stable entity-incarnation identity plus revision/idempotency protection; stop relying on reusable numeric IDs alone.</x:v>
      </x:c>
      <x:c r="F7" s="10" t="str">
        <x:v>Audits 3, 5, 10</x:v>
      </x:c>
      <x:c r="G7" s="10" t="str">
        <x:v>Critical</x:v>
      </x:c>
      <x:c r="H7" s="10" t="str">
        <x:v>History/recovery/booking references can attach to unrelated later entities</x:v>
      </x:c>
      <x:c r="I7" s="10" t="str">
        <x:v>REM-005</x:v>
      </x:c>
      <x:c r="J7" s="10" t="str">
        <x:v>T6 — Stable identity and revision model</x:v>
      </x:c>
      <x:c r="K7" s="10" t="str">
        <x:v>Delete/recreate/restore ID-reuse tests cannot cross-link old evidence to new entities; duplicate submissions are rejected/idempotent.</x:v>
      </x:c>
      <x:c r="L7" s="10" t="str">
        <x:v>Not started</x:v>
      </x:c>
      <x:c r="M7" s="10" t="str">
        <x:v>Implementer</x:v>
      </x:c>
    </x:row>
    <x:row r="8">
      <x:c r="A8" s="10" t="str">
        <x:v>REM-007</x:v>
      </x:c>
      <x:c r="B8" s="10" t="str">
        <x:v>Integrity &amp; reconciliation</x:v>
      </x:c>
      <x:c r="C8" s="10" t="str">
        <x:v>P0</x:v>
      </x:c>
      <x:c r="D8" s="10" t="str">
        <x:v>Fix before V1</x:v>
      </x:c>
      <x:c r="E8" s="10" t="str">
        <x:v>Implement general cross-dataset invariant scanner and deterministic startup recovery beyond movement-booking links.</x:v>
      </x:c>
      <x:c r="F8" s="10" t="str">
        <x:v>Audits 3, 5</x:v>
      </x:c>
      <x:c r="G8" s="10" t="str">
        <x:v>High</x:v>
      </x:c>
      <x:c r="H8" s="10" t="str">
        <x:v>Contradictory datasets survive startup undetected</x:v>
      </x:c>
      <x:c r="I8" s="10" t="str">
        <x:v>REM-005, REM-006</x:v>
      </x:c>
      <x:c r="J8" s="10" t="str">
        <x:v>T7 — Integrity scanner and recovery state</x:v>
      </x:c>
      <x:c r="K8" s="10" t="str">
        <x:v>Startup detects duplicate IDs, ambiguous recovery refs, one-sided links and incomplete operations; operator sees actionable state.</x:v>
      </x:c>
      <x:c r="L8" s="10" t="str">
        <x:v>Not started</x:v>
      </x:c>
      <x:c r="M8" s="10" t="str">
        <x:v>Implementer</x:v>
      </x:c>
    </x:row>
    <x:row r="9">
      <x:c r="A9" s="10" t="str">
        <x:v>REM-008</x:v>
      </x:c>
      <x:c r="B9" s="10" t="str">
        <x:v>Booking &amp; lifecycle</x:v>
      </x:c>
      <x:c r="C9" s="10" t="str">
        <x:v>P0</x:v>
      </x:c>
      <x:c r="D9" s="10" t="str">
        <x:v>Fix before V1</x:v>
      </x:c>
      <x:c r="E9" s="10" t="str">
        <x:v>Make booking + strip creation atomic and immediately reciprocal; unify booking cancellation/deletion with canonical movement lifecycle.</x:v>
      </x:c>
      <x:c r="F9" s="10" t="str">
        <x:v>Audits 2, 3, 5</x:v>
      </x:c>
      <x:c r="G9" s="10" t="str">
        <x:v>Critical</x:v>
      </x:c>
      <x:c r="H9" s="10" t="str">
        <x:v>Booking/movement divergence and bypassed formation/recovery logic</x:v>
      </x:c>
      <x:c r="I9" s="10" t="str">
        <x:v>REM-005, REM-006</x:v>
      </x:c>
      <x:c r="J9" s="10" t="str">
        <x:v>T8 — Booking/movement transaction</x:v>
      </x:c>
      <x:c r="K9" s="10" t="str">
        <x:v>Create/cancel/delete failure-injection leaves no one-sided durable relationships and uses canonical movement side effects.</x:v>
      </x:c>
      <x:c r="L9" s="10" t="str">
        <x:v>Not started</x:v>
      </x:c>
      <x:c r="M9" s="10" t="str">
        <x:v>Implementer</x:v>
      </x:c>
    </x:row>
    <x:row r="10">
      <x:c r="A10" s="10" t="str">
        <x:v>REM-009</x:v>
      </x:c>
      <x:c r="B10" s="10" t="str">
        <x:v>Recovery lifecycle</x:v>
      </x:c>
      <x:c r="C10" s="10" t="str">
        <x:v>P0</x:v>
      </x:c>
      <x:c r="D10" s="10" t="str">
        <x:v>Fix before V1</x:v>
      </x:c>
      <x:c r="E10" s="10" t="str">
        <x:v>Reorder cancellation/deletion so recovery/audit evidence is only committed with verified primary mutation; preserve snapshots on failed restore.</x:v>
      </x:c>
      <x:c r="F10" s="10" t="str">
        <x:v>Audits 1, 2, 3, 5</x:v>
      </x:c>
      <x:c r="G10" s="10" t="str">
        <x:v>High</x:v>
      </x:c>
      <x:c r="H10" s="10" t="str">
        <x:v>Recovery/audit records can contradict durable primary state</x:v>
      </x:c>
      <x:c r="I10" s="10" t="str">
        <x:v>REM-001, REM-005</x:v>
      </x:c>
      <x:c r="J10" s="10" t="str">
        <x:v>T9 — Verified cancel/delete/recovery commands</x:v>
      </x:c>
      <x:c r="K10" s="10" t="str">
        <x:v>Injected failures cannot produce recovery record without mutation or delete recovery snapshot after undurable restore.</x:v>
      </x:c>
      <x:c r="L10" s="10" t="str">
        <x:v>Not started</x:v>
      </x:c>
      <x:c r="M10" s="10" t="str">
        <x:v>Implementer</x:v>
      </x:c>
    </x:row>
    <x:row r="11">
      <x:c r="A11" s="10" t="str">
        <x:v>REM-010</x:v>
      </x:c>
      <x:c r="B11" s="10" t="str">
        <x:v>Formation integrity</x:v>
      </x:c>
      <x:c r="C11" s="10" t="str">
        <x:v>P1</x:v>
      </x:c>
      <x:c r="D11" s="10" t="str">
        <x:v>Fix before V1</x:v>
      </x:c>
      <x:c r="E11" s="10" t="str">
        <x:v>Preserve formation element lifecycle/status/actuals through editing; centralise formation cascade policy and validation.</x:v>
      </x:c>
      <x:c r="F11" s="10" t="str">
        <x:v>Audits 1, 3, 5</x:v>
      </x:c>
      <x:c r="G11" s="10" t="str">
        <x:v>High</x:v>
      </x:c>
      <x:c r="H11" s="10" t="str">
        <x:v>Editing can erase actual operational state</x:v>
      </x:c>
      <x:c r="I11" s="10" t="str">
        <x:v>REM-005</x:v>
      </x:c>
      <x:c r="J11" s="10" t="str">
        <x:v>T10 — Formation lifecycle integrity</x:v>
      </x:c>
      <x:c r="K11" s="10" t="str">
        <x:v>Edit round-trip preserves status/actuals; invalid element times are rejected, not cleared.</x:v>
      </x:c>
      <x:c r="L11" s="10" t="str">
        <x:v>Not started</x:v>
      </x:c>
      <x:c r="M11" s="10" t="str">
        <x:v>Implementer</x:v>
      </x:c>
    </x:row>
    <x:row r="12">
      <x:c r="A12" s="10" t="str">
        <x:v>REM-011</x:v>
      </x:c>
      <x:c r="B12" s="10" t="str">
        <x:v>Time &amp; date model</x:v>
      </x:c>
      <x:c r="C12" s="10" t="str">
        <x:v>P0</x:v>
      </x:c>
      <x:c r="D12" s="10" t="str">
        <x:v>Fix before V1</x:v>
      </x:c>
      <x:c r="E12" s="10" t="str">
        <x:v>Define one canonical operational-time model with date-bearing event timestamps and Europe/London date-aware conversion.</x:v>
      </x:c>
      <x:c r="F12" s="10" t="str">
        <x:v>Audits 4, 5, 12</x:v>
      </x:c>
      <x:c r="G12" s="10" t="str">
        <x:v>High</x:v>
      </x:c>
      <x:c r="H12" s="10" t="str">
        <x:v>Wrong-day, BST and mixed local/UTC operational records</x:v>
      </x:c>
      <x:c r="I12" s="10" t="str">
        <x:v>REM-005</x:v>
      </x:c>
      <x:c r="J12" s="10" t="str">
        <x:v>T11 — Canonical operational time model</x:v>
      </x:c>
      <x:c r="K12" s="10" t="str">
        <x:v>BST gap/fold, midnight crossing, different start/end dates, booking/reinstate paths and installed runtime all pass.</x:v>
      </x:c>
      <x:c r="L12" s="10" t="str">
        <x:v>Not started</x:v>
      </x:c>
      <x:c r="M12" s="10" t="str">
        <x:v>Implementer</x:v>
      </x:c>
    </x:row>
    <x:row r="13">
      <x:c r="A13" s="10" t="str">
        <x:v>REM-012</x:v>
      </x:c>
      <x:c r="B13" s="10" t="str">
        <x:v>Movement validation</x:v>
      </x:c>
      <x:c r="C13" s="10" t="str">
        <x:v>P1</x:v>
      </x:c>
      <x:c r="D13" s="10" t="str">
        <x:v>Fix before V1</x:v>
      </x:c>
      <x:c r="E13" s="10" t="str">
        <x:v>Remove divergent Save &amp; Complete builders; reuse ordinary validated save/build path for create and edit completion.</x:v>
      </x:c>
      <x:c r="F13" s="10" t="str">
        <x:v>Audits 1, 5</x:v>
      </x:c>
      <x:c r="G13" s="10" t="str">
        <x:v>High</x:v>
      </x:c>
      <x:c r="H13" s="10" t="str">
        <x:v>Completed records can bypass validation and lose fields</x:v>
      </x:c>
      <x:c r="I13" s="10" t="str">
        <x:v>REM-005, REM-011</x:v>
      </x:c>
      <x:c r="J13" s="10" t="str">
        <x:v>T12 — Unify Save &amp; Complete</x:v>
      </x:c>
      <x:c r="K13" s="10" t="str">
        <x:v>Ordinary Save and Save &amp; Complete apply identical validation/mapping; formations/PIC/WTC/ZZZZ data preserved.</x:v>
      </x:c>
      <x:c r="L13" s="10" t="str">
        <x:v>Not started</x:v>
      </x:c>
      <x:c r="M13" s="10" t="str">
        <x:v>Implementer</x:v>
      </x:c>
    </x:row>
    <x:row r="14">
      <x:c r="A14" s="10" t="str">
        <x:v>REM-013</x:v>
      </x:c>
      <x:c r="B14" s="10" t="str">
        <x:v>Calendar</x:v>
      </x:c>
      <x:c r="C14" s="10" t="str">
        <x:v>P1</x:v>
      </x:c>
      <x:c r="D14" s="10" t="str">
        <x:v>Fix before V1</x:v>
      </x:c>
      <x:c r="E14" s="10" t="str">
        <x:v>Either implement recurrence/date-span/notification semantics or remove those controls; correct year-view movement counts.</x:v>
      </x:c>
      <x:c r="F14" s="10" t="str">
        <x:v>Audits 1, 4, 5</x:v>
      </x:c>
      <x:c r="G14" s="10" t="str">
        <x:v>Medium</x:v>
      </x:c>
      <x:c r="H14" s="10" t="str">
        <x:v>UI promises behaviour that does not occur</x:v>
      </x:c>
      <x:c r="I14" s="10" t="str">
        <x:v>REM-001, REM-011</x:v>
      </x:c>
      <x:c r="J14" s="10" t="str">
        <x:v>T13 — Calendar truthfulness</x:v>
      </x:c>
      <x:c r="K14" s="10" t="str">
        <x:v>Every exposed recurrence/span/notification option is implemented and tested or absent; month/week/year agree.</x:v>
      </x:c>
      <x:c r="L14" s="10" t="str">
        <x:v>Not started</x:v>
      </x:c>
      <x:c r="M14" s="10" t="str">
        <x:v>Implementer</x:v>
      </x:c>
    </x:row>
    <x:row r="15">
      <x:c r="A15" s="10" t="str">
        <x:v>REM-014</x:v>
      </x:c>
      <x:c r="B15" s="10" t="str">
        <x:v>Reporting</x:v>
      </x:c>
      <x:c r="C15" s="10" t="str">
        <x:v>P1</x:v>
      </x:c>
      <x:c r="D15" s="10" t="str">
        <x:v>Fix before V1</x:v>
      </x:c>
      <x:c r="E15" s="10" t="str">
        <x:v>Correct Monthly Return/history allocation at midnight/month boundaries and align summary/detail evidence.</x:v>
      </x:c>
      <x:c r="F15" s="10" t="str">
        <x:v>Audits 4, 12</x:v>
      </x:c>
      <x:c r="G15" s="10" t="str">
        <x:v>High</x:v>
      </x:c>
      <x:c r="H15" s="10" t="str">
        <x:v>Official reporting can disagree with underlying records</x:v>
      </x:c>
      <x:c r="I15" s="10" t="str">
        <x:v>REM-011</x:v>
      </x:c>
      <x:c r="J15" s="10" t="str">
        <x:v>T14 — Reporting time-boundary correctness</x:v>
      </x:c>
      <x:c r="K15" s="10" t="str">
        <x:v>Month-boundary, cross-midnight and BST scenarios produce consistent UI/CSV/XLSX totals and detail.</x:v>
      </x:c>
      <x:c r="L15" s="10" t="str">
        <x:v>Not started</x:v>
      </x:c>
      <x:c r="M15" s="10" t="str">
        <x:v>Implementer</x:v>
      </x:c>
    </x:row>
    <x:row r="16">
      <x:c r="A16" s="10" t="str">
        <x:v>REM-015</x:v>
      </x:c>
      <x:c r="B16" s="10" t="str">
        <x:v>Exports</x:v>
      </x:c>
      <x:c r="C16" s="10" t="str">
        <x:v>P1</x:v>
      </x:c>
      <x:c r="D16" s="10" t="str">
        <x:v>Fix before V1</x:v>
      </x:c>
      <x:c r="E16" s="10" t="str">
        <x:v>Export explicit timezone/next-day semantics and centralise spreadsheet-safe CSV/XLSX encoding.</x:v>
      </x:c>
      <x:c r="F16" s="10" t="str">
        <x:v>Audits 4, 6</x:v>
      </x:c>
      <x:c r="G16" s="10" t="str">
        <x:v>Medium</x:v>
      </x:c>
      <x:c r="H16" s="10" t="str">
        <x:v>Ambiguous exported evidence and spreadsheet formula injection</x:v>
      </x:c>
      <x:c r="I16" s="10" t="str">
        <x:v>REM-011</x:v>
      </x:c>
      <x:c r="J16" s="10" t="str">
        <x:v>T15 — Safe, explicit exports</x:v>
      </x:c>
      <x:c r="K16" s="10" t="str">
        <x:v>Export fixtures preserve date/time semantics and neutralise formula-leading cells across all CSV/XLSX paths.</x:v>
      </x:c>
      <x:c r="L16" s="10" t="str">
        <x:v>Not started</x:v>
      </x:c>
      <x:c r="M16" s="10" t="str">
        <x:v>Implementer</x:v>
      </x:c>
    </x:row>
    <x:row r="17">
      <x:c r="A17" s="10" t="str">
        <x:v>REM-016</x:v>
      </x:c>
      <x:c r="B17" s="10" t="str">
        <x:v>Release provenance</x:v>
      </x:c>
      <x:c r="C17" s="10" t="str">
        <x:v>P0</x:v>
      </x:c>
      <x:c r="D17" s="10" t="str">
        <x:v>Fix before next distributable build</x:v>
      </x:c>
      <x:c r="E17" s="10" t="str">
        <x:v>Assign a new unique version and expose immutable source commit/build identity in packaged Flite.</x:v>
      </x:c>
      <x:c r="F17" s="10" t="str">
        <x:v>Audits 11, 12</x:v>
      </x:c>
      <x:c r="G17" s="10" t="str">
        <x:v>High</x:v>
      </x:c>
      <x:c r="H17" s="10" t="str">
        <x:v>Different binaries can share release identity</x:v>
      </x:c>
      <x:c r="I17" s="10" t="str">
        <x:v>None</x:v>
      </x:c>
      <x:c r="J17" s="10" t="str">
        <x:v>T16 — Release identity gate</x:v>
      </x:c>
      <x:c r="K17" s="10" t="str">
        <x:v>Manifests/tag/latest.json/app UI agree; installed app exposes exact source SHA.</x:v>
      </x:c>
      <x:c r="L17" s="10" t="str">
        <x:v>Not started</x:v>
      </x:c>
      <x:c r="M17" s="10" t="str">
        <x:v>Implementer</x:v>
      </x:c>
    </x:row>
    <x:row r="18">
      <x:c r="A18" s="10" t="str">
        <x:v>REM-017</x:v>
      </x:c>
      <x:c r="B18" s="10" t="str">
        <x:v>Release process</x:v>
      </x:c>
      <x:c r="C18" s="10" t="str">
        <x:v>P0</x:v>
      </x:c>
      <x:c r="D18" s="10" t="str">
        <x:v>Fix before next distributable build</x:v>
      </x:c>
      <x:c r="E18" s="10" t="str">
        <x:v>Build/sign/publish only from an immutable accepted tag using a hardened clean-tree release workflow with hashes.</x:v>
      </x:c>
      <x:c r="F18" s="10" t="str">
        <x:v>Audits 6, 11</x:v>
      </x:c>
      <x:c r="G18" s="10" t="str">
        <x:v>High</x:v>
      </x:c>
      <x:c r="H18" s="10" t="str">
        <x:v>Manual release assembly cannot prove provenance</x:v>
      </x:c>
      <x:c r="I18" s="10" t="str">
        <x:v>REM-016</x:v>
      </x:c>
      <x:c r="J18" s="10" t="str">
        <x:v>T17 — Tag-bound release workflow</x:v>
      </x:c>
      <x:c r="K18" s="10" t="str">
        <x:v>Clean build from tag runs tests, records SHA/hashes, signs artifacts and rejects dirty/mismatched versions.</x:v>
      </x:c>
      <x:c r="L18" s="10" t="str">
        <x:v>Not started</x:v>
      </x:c>
      <x:c r="M18" s="10" t="str">
        <x:v>Implementer</x:v>
      </x:c>
    </x:row>
    <x:row r="19">
      <x:c r="A19" s="10" t="str">
        <x:v>REM-018</x:v>
      </x:c>
      <x:c r="B19" s="10" t="str">
        <x:v>Updater &amp; Tauri parity</x:v>
      </x:c>
      <x:c r="C19" s="10" t="str">
        <x:v>P1</x:v>
      </x:c>
      <x:c r="D19" s="10" t="str">
        <x:v>Fix before V1</x:v>
      </x:c>
      <x:c r="E19" s="10" t="str">
        <x:v>Close installed-runtime gaps: JSON Save As filter, update retry/pending state, restart failure reporting, clipboard/external navigation capability handling.</x:v>
      </x:c>
      <x:c r="F19" s="10" t="str">
        <x:v>Audits 9, 11, 12</x:v>
      </x:c>
      <x:c r="G19" s="10" t="str">
        <x:v>Medium-high</x:v>
      </x:c>
      <x:c r="H19" s="10" t="str">
        <x:v>Browser acceptance does not prove packaged capabilities</x:v>
      </x:c>
      <x:c r="I19" s="10" t="str">
        <x:v>REM-016</x:v>
      </x:c>
      <x:c r="J19" s="10" t="str">
        <x:v>T18 — Packaged Tauri capability hardening</x:v>
      </x:c>
      <x:c r="K19" s="10" t="str">
        <x:v>Mandatory packaged suite verifies save, clipboard, external navigation, updater failure/retry and restart failure.</x:v>
      </x:c>
      <x:c r="L19" s="10" t="str">
        <x:v>Not started</x:v>
      </x:c>
      <x:c r="M19" s="10" t="str">
        <x:v>Implementer</x:v>
      </x:c>
    </x:row>
    <x:row r="20">
      <x:c r="A20" s="10" t="str">
        <x:v>REM-019</x:v>
      </x:c>
      <x:c r="B20" s="10" t="str">
        <x:v>Installer lifecycle</x:v>
      </x:c>
      <x:c r="C20" s="10" t="str">
        <x:v>P1</x:v>
      </x:c>
      <x:c r="D20" s="10" t="str">
        <x:v>Fix before V1</x:v>
      </x:c>
      <x:c r="E20" s="10" t="str">
        <x:v>Define supported installer channel, WebView2 offline policy, uninstall/reinstall retention and downgrade schema contract.</x:v>
      </x:c>
      <x:c r="F20" s="10" t="str">
        <x:v>Audits 11, 12</x:v>
      </x:c>
      <x:c r="G20" s="10" t="str">
        <x:v>Medium</x:v>
      </x:c>
      <x:c r="H20" s="10" t="str">
        <x:v>Clean install/reinstall/downgrade behaviour is undefined</x:v>
      </x:c>
      <x:c r="I20" s="10" t="str">
        <x:v>REM-016, REM-017</x:v>
      </x:c>
      <x:c r="J20" s="10" t="str">
        <x:v>T19 — Installer lifecycle contract</x:v>
      </x:c>
      <x:c r="K20" s="10" t="str">
        <x:v>Packaged tests cover WebView2 present/absent, manual NSIS upgrade, uninstall/reinstall and supported downgrade.</x:v>
      </x:c>
      <x:c r="L20" s="10" t="str">
        <x:v>Not started</x:v>
      </x:c>
      <x:c r="M20" s="10" t="str">
        <x:v>Implementer</x:v>
      </x:c>
    </x:row>
    <x:row r="21">
      <x:c r="A21" s="10" t="str">
        <x:v>REM-020</x:v>
      </x:c>
      <x:c r="B21" s="10" t="str">
        <x:v>Security &amp; imports</x:v>
      </x:c>
      <x:c r="C21" s="10" t="str">
        <x:v>P1</x:v>
      </x:c>
      <x:c r="D21" s="10" t="str">
        <x:v>Fix before V1</x:v>
      </x:c>
      <x:c r="E21" s="10" t="str">
        <x:v>Bound import payload size/depth/field lengths/counts and strengthen record-level validation for backup, legacy restore and profile import.</x:v>
      </x:c>
      <x:c r="F21" s="10" t="str">
        <x:v>Audits 6, 10</x:v>
      </x:c>
      <x:c r="G21" s="10" t="str">
        <x:v>Medium-high</x:v>
      </x:c>
      <x:c r="H21" s="10" t="str">
        <x:v>Hostile/oversized data crosses persistence boundary</x:v>
      </x:c>
      <x:c r="I21" s="10" t="str">
        <x:v>REM-003, REM-004</x:v>
      </x:c>
      <x:c r="J21" s="10" t="str">
        <x:v>T20 — Bounded import validation</x:v>
      </x:c>
      <x:c r="K21" s="10" t="str">
        <x:v>Oversized/deep/malformed fixtures fail safely before mutation with actionable error.</x:v>
      </x:c>
      <x:c r="L21" s="10" t="str">
        <x:v>Not started</x:v>
      </x:c>
      <x:c r="M21" s="10" t="str">
        <x:v>Implementer</x:v>
      </x:c>
    </x:row>
    <x:row r="22">
      <x:c r="A22" s="10" t="str">
        <x:v>REM-021</x:v>
      </x:c>
      <x:c r="B22" s="10" t="str">
        <x:v>Privacy &amp; evidence</x:v>
      </x:c>
      <x:c r="C22" s="10" t="str">
        <x:v>P2</x:v>
      </x:c>
      <x:c r="D22" s="10" t="str">
        <x:v>Fix before V1 or explicit risk acceptance</x:v>
      </x:c>
      <x:c r="E22" s="10" t="str">
        <x:v>Protect corrupt audit evidence, define ledger retention, redact diagnostic workstation/path data, warn on plaintext backup sensitivity.</x:v>
      </x:c>
      <x:c r="F22" s="10" t="str">
        <x:v>Audit 6</x:v>
      </x:c>
      <x:c r="G22" s="10" t="str">
        <x:v>Medium</x:v>
      </x:c>
      <x:c r="H22" s="10" t="str">
        <x:v>Operational/personal data leakage and loss of evidence</x:v>
      </x:c>
      <x:c r="I22" s="10" t="str">
        <x:v>REM-001</x:v>
      </x:c>
      <x:c r="J22" s="10" t="str">
        <x:v>T21 — Audit/diagnostic privacy hardening</x:v>
      </x:c>
      <x:c r="K22" s="10" t="str">
        <x:v>Corrupt audit store preserved; retention bounded; diagnostic export redacts workstation details; backup warning shown.</x:v>
      </x:c>
      <x:c r="L22" s="10" t="str">
        <x:v>Not started</x:v>
      </x:c>
      <x:c r="M22" s="10" t="str">
        <x:v>Implementer</x:v>
      </x:c>
    </x:row>
    <x:row r="23">
      <x:c r="A23" s="10" t="str">
        <x:v>REM-022</x:v>
      </x:c>
      <x:c r="B23" s="10" t="str">
        <x:v>Accessibility</x:v>
      </x:c>
      <x:c r="C23" s="10" t="str">
        <x:v>P1</x:v>
      </x:c>
      <x:c r="D23" s="10" t="str">
        <x:v>Fix before V1</x:v>
      </x:c>
      <x:c r="E23" s="10" t="str">
        <x:v>Restore strong focus-visible styling and centralise custom modal semantics/focus lifecycle; remove document-level Enter-to-save.</x:v>
      </x:c>
      <x:c r="F23" s="10" t="str">
        <x:v>Audit 7</x:v>
      </x:c>
      <x:c r="G23" s="10" t="str">
        <x:v>High</x:v>
      </x:c>
      <x:c r="H23" s="10" t="str">
        <x:v>Keyboard users can lose focus or trigger unintended saves</x:v>
      </x:c>
      <x:c r="I23" s="10" t="str">
        <x:v>None</x:v>
      </x:c>
      <x:c r="J23" s="10" t="str">
        <x:v>T22 — Accessible focus and modal foundation</x:v>
      </x:c>
      <x:c r="K23" s="10" t="str">
        <x:v>Keyboard-only packaged tests verify focus visibility, initial focus, trap/inertness, Escape, return focus and no unintended Enter saves.</x:v>
      </x:c>
      <x:c r="L23" s="10" t="str">
        <x:v>Not started</x:v>
      </x:c>
      <x:c r="M23" s="10" t="str">
        <x:v>Implementer</x:v>
      </x:c>
    </x:row>
    <x:row r="24">
      <x:c r="A24" s="10" t="str">
        <x:v>REM-023</x:v>
      </x:c>
      <x:c r="B24" s="10" t="str">
        <x:v>Accessibility</x:v>
      </x:c>
      <x:c r="C24" s="10" t="str">
        <x:v>P1</x:v>
      </x:c>
      <x:c r="D24" s="10" t="str">
        <x:v>Fix before V1</x:v>
      </x:c>
      <x:c r="E24" s="10" t="str">
        <x:v>Make inline edit initiation, History sorting, row menus/Create From and top-level navigation keyboard-operable with coherent semantics.</x:v>
      </x:c>
      <x:c r="F24" s="10" t="str">
        <x:v>Audit 7</x:v>
      </x:c>
      <x:c r="G24" s="10" t="str">
        <x:v>Medium-high</x:v>
      </x:c>
      <x:c r="H24" s="10" t="str">
        <x:v>Core workflows inaccessible without mouse</x:v>
      </x:c>
      <x:c r="I24" s="10" t="str">
        <x:v>REM-022</x:v>
      </x:c>
      <x:c r="J24" s="10" t="str">
        <x:v>T23 — Keyboard operation of custom controls</x:v>
      </x:c>
      <x:c r="K24" s="10" t="str">
        <x:v>Defined keyboard matrix passes for Live Board, History, menus/submenus and nav.</x:v>
      </x:c>
      <x:c r="L24" s="10" t="str">
        <x:v>Not started</x:v>
      </x:c>
      <x:c r="M24" s="10" t="str">
        <x:v>Implementer</x:v>
      </x:c>
    </x:row>
    <x:row r="25">
      <x:c r="A25" s="10" t="str">
        <x:v>REM-024</x:v>
      </x:c>
      <x:c r="B25" s="10" t="str">
        <x:v>Accessibility</x:v>
      </x:c>
      <x:c r="C25" s="10" t="str">
        <x:v>P2</x:v>
      </x:c>
      <x:c r="D25" s="10" t="str">
        <x:v>Fix before V1 or explicit risk acceptance</x:v>
      </x:c>
      <x:c r="E25" s="10" t="str">
        <x:v>Add live-region/status semantics, accessible naming, contrast/text-size fixes and focus preservation across rerenders.</x:v>
      </x:c>
      <x:c r="F25" s="10" t="str">
        <x:v>Audit 7</x:v>
      </x:c>
      <x:c r="G25" s="10" t="str">
        <x:v>Medium</x:v>
      </x:c>
      <x:c r="H25" s="10" t="str">
        <x:v>Assistive technology misses dynamic state and context</x:v>
      </x:c>
      <x:c r="I25" s="10" t="str">
        <x:v>REM-022</x:v>
      </x:c>
      <x:c r="J25" s="10" t="str">
        <x:v>T24 — Dynamic accessibility and visual cleanup</x:v>
      </x:c>
      <x:c r="K25" s="10" t="str">
        <x:v>Screen-reader/zoom/contrast/rerender-focus acceptance passes.</x:v>
      </x:c>
      <x:c r="L25" s="10" t="str">
        <x:v>Not started</x:v>
      </x:c>
      <x:c r="M25" s="10" t="str">
        <x:v>Implementer</x:v>
      </x:c>
    </x:row>
    <x:row r="26">
      <x:c r="A26" s="10" t="str">
        <x:v>REM-025</x:v>
      </x:c>
      <x:c r="B26" s="10" t="str">
        <x:v>Performance</x:v>
      </x:c>
      <x:c r="C26" s="10" t="str">
        <x:v>P1</x:v>
      </x:c>
      <x:c r="D26" s="10" t="str">
        <x:v>Investigate immediately</x:v>
      </x:c>
      <x:c r="E26" s="10" t="str">
        <x:v>Instrument packaged Flite resource usage: idle CPU, WebView2 process memory, long tasks, timer frequency, localStorage I/O and tab-specific load.</x:v>
      </x:c>
      <x:c r="F26" s="10" t="str">
        <x:v>Audit 8 + operator feedback 10 Aug 2026</x:v>
      </x:c>
      <x:c r="G26" s="10" t="str">
        <x:v>High</x:v>
      </x:c>
      <x:c r="H26" s="10" t="str">
        <x:v>Flite reportedly causes noticeable whole-PC slowdown</x:v>
      </x:c>
      <x:c r="I26" s="10" t="str">
        <x:v>None</x:v>
      </x:c>
      <x:c r="J26" s="10" t="str">
        <x:v>T25 — Runtime resource profiling harness</x:v>
      </x:c>
      <x:c r="K26" s="10" t="str">
        <x:v>Profiles from affected and reference PCs identify baseline idle/active CPU, RAM, long tasks and recurring hot paths.</x:v>
      </x:c>
      <x:c r="L26" s="10" t="str">
        <x:v>Not started</x:v>
      </x:c>
      <x:c r="M26" s="10" t="str">
        <x:v>Implementer/SME</x:v>
      </x:c>
    </x:row>
    <x:row r="27">
      <x:c r="A27" s="10" t="str">
        <x:v>REM-026</x:v>
      </x:c>
      <x:c r="B27" s="10" t="str">
        <x:v>Performance</x:v>
      </x:c>
      <x:c r="C27" s="10" t="str">
        <x:v>P1</x:v>
      </x:c>
      <x:c r="D27" s="10" t="str">
        <x:v>Fix before V1 based on profiling</x:v>
      </x:c>
      <x:c r="E27" s="10" t="str">
        <x:v>Optimise Live Board alerts and repeated full-dataset scans; index Calendar/cancellation/reconciliation/report relationships; avoid repeated VKB reconstruction and Hours parsing.</x:v>
      </x:c>
      <x:c r="F27" s="10" t="str">
        <x:v>Audit 8</x:v>
      </x:c>
      <x:c r="G27" s="10" t="str">
        <x:v>High</x:v>
      </x:c>
      <x:c r="H27" s="10" t="str">
        <x:v>UI/main-thread cost grows with installation size</x:v>
      </x:c>
      <x:c r="I27" s="10" t="str">
        <x:v>REM-025</x:v>
      </x:c>
      <x:c r="J27" s="10" t="str">
        <x:v>T26 — Hot-path indexing and render reduction</x:v>
      </x:c>
      <x:c r="K27" s="10" t="str">
        <x:v>Scale benchmarks meet audit thresholds at representative movement/history volumes.</x:v>
      </x:c>
      <x:c r="L27" s="10" t="str">
        <x:v>Not started</x:v>
      </x:c>
      <x:c r="M27" s="10" t="str">
        <x:v>Implementer</x:v>
      </x:c>
    </x:row>
    <x:row r="28">
      <x:c r="A28" s="10" t="str">
        <x:v>REM-027</x:v>
      </x:c>
      <x:c r="B28" s="10" t="str">
        <x:v>Performance</x:v>
      </x:c>
      <x:c r="C28" s="10" t="str">
        <x:v>P2</x:v>
      </x:c>
      <x:c r="D28" s="10" t="str">
        <x:v>Plan before V1; implement if benchmarks require</x:v>
      </x:c>
      <x:c r="E28" s="10" t="str">
        <x:v>Reduce lifetime JSON rewrite scaling, unbounded tables and backup/XLSX memory amplification; consider record-oriented/partitioned persistence.</x:v>
      </x:c>
      <x:c r="F28" s="10" t="str">
        <x:v>Audit 8</x:v>
      </x:c>
      <x:c r="G28" s="10" t="str">
        <x:v>High</x:v>
      </x:c>
      <x:c r="H28" s="10" t="str">
        <x:v>Installation-age scaling and memory/IO amplification</x:v>
      </x:c>
      <x:c r="I28" s="10" t="str">
        <x:v>REM-001, REM-025</x:v>
      </x:c>
      <x:c r="J28" s="10" t="str">
        <x:v>T27 — Persistence and table scale architecture</x:v>
      </x:c>
      <x:c r="K28" s="10" t="str">
        <x:v>Large-data benchmark demonstrates bounded interaction latency/memory or approved post-V1 migration plan.</x:v>
      </x:c>
      <x:c r="L28" s="10" t="str">
        <x:v>Not started</x:v>
      </x:c>
      <x:c r="M28" s="10" t="str">
        <x:v>Architect/Implementer</x:v>
      </x:c>
    </x:row>
    <x:row r="29">
      <x:c r="A29" s="10" t="str">
        <x:v>REM-028</x:v>
      </x:c>
      <x:c r="B29" s="10" t="str">
        <x:v>Documentation</x:v>
      </x:c>
      <x:c r="C29" s="10" t="str">
        <x:v>P0</x:v>
      </x:c>
      <x:c r="D29" s="10" t="str">
        <x:v>Fix before V1</x:v>
      </x:c>
      <x:c r="E29" s="10" t="str">
        <x:v>Correct restore/updater/backup/operator workflow documentation, including mandatory post-restore restart and auto-activation.</x:v>
      </x:c>
      <x:c r="F29" s="10" t="str">
        <x:v>Audit 12</x:v>
      </x:c>
      <x:c r="G29" s="10" t="str">
        <x:v>High</x:v>
      </x:c>
      <x:c r="H29" s="10" t="str">
        <x:v>Operator instructions contradict audited behaviour</x:v>
      </x:c>
      <x:c r="I29" s="10" t="str">
        <x:v>REM-003, REM-011, REM-018</x:v>
      </x:c>
      <x:c r="J29" s="10" t="str">
        <x:v>T28 — Safety-critical operator documentation</x:v>
      </x:c>
      <x:c r="K29" s="10" t="str">
        <x:v>Documentation walkthrough against immutable RC completes consequential tasks without undocumented knowledge.</x:v>
      </x:c>
      <x:c r="L29" s="10" t="str">
        <x:v>Not started</x:v>
      </x:c>
      <x:c r="M29" s="10" t="str">
        <x:v>Documentation owner</x:v>
      </x:c>
    </x:row>
    <x:row r="30">
      <x:c r="A30" s="10" t="str">
        <x:v>REM-029</x:v>
      </x:c>
      <x:c r="B30" s="10" t="str">
        <x:v>Documentation</x:v>
      </x:c>
      <x:c r="C30" s="10" t="str">
        <x:v>P2</x:v>
      </x:c>
      <x:c r="D30" s="10" t="str">
        <x:v>Fix before V1</x:v>
      </x:c>
      <x:c r="E30" s="10" t="str">
        <x:v>Establish document authority index/status headers; archive obsolete demos; remove accidental README authoring block and stale canonical branding.</x:v>
      </x:c>
      <x:c r="F30" s="10" t="str">
        <x:v>Audit 12</x:v>
      </x:c>
      <x:c r="G30" s="10" t="str">
        <x:v>Low-medium</x:v>
      </x:c>
      <x:c r="H30" s="10" t="str">
        <x:v>Conflicting 'canonical' documents cause engineering/operator drift</x:v>
      </x:c>
      <x:c r="I30" s="10" t="str">
        <x:v>None</x:v>
      </x:c>
      <x:c r="J30" s="10" t="str">
        <x:v>T29 — Documentation authority cleanup</x:v>
      </x:c>
      <x:c r="K30" s="10" t="str">
        <x:v>One index identifies current/historical docs and baselines; repository scan finds no obsolete current-facing guidance.</x:v>
      </x:c>
      <x:c r="L30" s="10" t="str">
        <x:v>Not started</x:v>
      </x:c>
      <x:c r="M30" s="10" t="str">
        <x:v>Documentation owner</x:v>
      </x:c>
    </x:row>
    <x:row r="31">
      <x:c r="A31" s="10" t="str">
        <x:v>REM-030</x:v>
      </x:c>
      <x:c r="B31" s="10" t="str">
        <x:v>Production UX</x:v>
      </x:c>
      <x:c r="C31" s="10" t="str">
        <x:v>P2</x:v>
      </x:c>
      <x:c r="D31" s="10" t="str">
        <x:v>Fix before V1</x:v>
      </x:c>
      <x:c r="E31" s="10" t="str">
        <x:v>Remove/relocate roadmap placeholders and obsolete prototype/future copy from production UI; make diagnostic success result-bearing.</x:v>
      </x:c>
      <x:c r="F31" s="10" t="str">
        <x:v>Early UX audits; Audit 12</x:v>
      </x:c>
      <x:c r="G31" s="10" t="str">
        <x:v>Medium</x:v>
      </x:c>
      <x:c r="H31" s="10" t="str">
        <x:v>Production UI exposes roadmap material or false outcomes</x:v>
      </x:c>
      <x:c r="I31" s="10" t="str">
        <x:v>REM-001</x:v>
      </x:c>
      <x:c r="J31" s="10" t="str">
        <x:v>T30 — Production-copy and placeholder cleanup</x:v>
      </x:c>
      <x:c r="K31" s="10" t="str">
        <x:v>Static/dynamic UI scan contains no future placeholders; clear diagnostics reports actual result.</x:v>
      </x:c>
      <x:c r="L31" s="10" t="str">
        <x:v>Not started</x:v>
      </x:c>
      <x:c r="M31" s="10" t="str">
        <x:v>Implementer</x:v>
      </x:c>
    </x:row>
    <x:row r="32">
      <x:c r="A32" s="10" t="str">
        <x:v>REM-031</x:v>
      </x:c>
      <x:c r="B32" s="10" t="str">
        <x:v>Regression &amp; acceptance</x:v>
      </x:c>
      <x:c r="C32" s="10" t="str">
        <x:v>P0</x:v>
      </x:c>
      <x:c r="D32" s="10" t="str">
        <x:v>Fix before V1</x:v>
      </x:c>
      <x:c r="E32" s="10" t="str">
        <x:v>Convert audit acceptance specifications into mandatory automated/manual regression gates, including packaged-Tauri and failure injection.</x:v>
      </x:c>
      <x:c r="F32" s="10" t="str">
        <x:v>Audits 1–12</x:v>
      </x:c>
      <x:c r="G32" s="10" t="str">
        <x:v>Critical</x:v>
      </x:c>
      <x:c r="H32" s="10" t="str">
        <x:v>Remediation can regress other audited invariants</x:v>
      </x:c>
      <x:c r="I32" s="10" t="str">
        <x:v>REM-001 onward</x:v>
      </x:c>
      <x:c r="J32" s="10" t="str">
        <x:v>T31 — Audit-derived regression gate</x:v>
      </x:c>
      <x:c r="K32" s="10" t="str">
        <x:v>Every remediated finding has linked automated/manual evidence; immutable RC passes packaged acceptance suite.</x:v>
      </x:c>
      <x:c r="L32" s="10" t="str">
        <x:v>Not started</x:v>
      </x:c>
      <x:c r="M32" s="10" t="str">
        <x:v>QA/Architect</x:v>
      </x:c>
    </x:row>
  </x:sheetData>
  <x:conditionalFormatting sqref="C2:C32">
    <x:cfRule type="expression" dxfId="0" priority="1">
      <x:formula>C2="P0"</x:formula>
    </x:cfRule>
    <x:cfRule type="expression" dxfId="1" priority="2">
      <x:formula>C2="P1"</x:formula>
    </x:cfRule>
    <x:cfRule type="expression" dxfId="2" priority="3">
      <x:formula>C2="P2"</x:formula>
    </x:cfRule>
  </x:conditionalFormatting>
  <x:conditionalFormatting sqref="L2:L32">
    <x:cfRule type="expression" dxfId="3" priority="4">
      <x:formula>L2="Closed"</x:formula>
    </x:cfRule>
  </x:conditionalFormatting>
  <x:dataValidations count="2">
    <x:dataValidation type="list" sqref="C2:C32">
      <x:formula1>"P0,P1,P2,P3"</x:formula1>
    </x:dataValidation>
    <x:dataValidation type="list" sqref="L2:L32">
      <x:formula1>"Not started,In progress,Blocked,Ready for verification,Closed,Accepted risk,Deferred"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f83f5c4bfe4a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12" hidden="0" customWidth="1"/>
    <x:col min="4" max="4" width="24" hidden="0" customWidth="1"/>
    <x:col min="5" max="5" width="48" hidden="0" customWidth="1"/>
  </x:cols>
  <x:sheetData>
    <x:row r="1">
      <x:c r="A1" s="5" t="str">
        <x:v>Workstream</x:v>
      </x:c>
      <x:c r="B1" s="5" t="str">
        <x:v>Objective</x:v>
      </x:c>
      <x:c r="C1" s="5" t="str">
        <x:v>Priority</x:v>
      </x:c>
      <x:c r="D1" s="5" t="str">
        <x:v>Register Items</x:v>
      </x:c>
      <x:c r="E1" s="5" t="str">
        <x:v>Execution Notes</x:v>
      </x:c>
    </x:row>
    <x:row r="2">
      <x:c r="A2" s="10" t="str">
        <x:v>Persistence &amp; integrity</x:v>
      </x:c>
      <x:c r="B2" s="10" t="str">
        <x:v>Make durable success/failure authoritative and recoverable.</x:v>
      </x:c>
      <x:c r="C2" s="10" t="str">
        <x:v>P0</x:v>
      </x:c>
      <x:c r="D2" s="10" t="str">
        <x:v>REM-001–REM-009</x:v>
      </x:c>
      <x:c r="E2" s="10" t="str">
        <x:v>Foundation for most operational remediation. Do before broad feature fixes.</x:v>
      </x:c>
    </x:row>
    <x:row r="3">
      <x:c r="A3" s="10" t="str">
        <x:v>Time &amp; operational semantics</x:v>
      </x:c>
      <x:c r="B3" s="10" t="str">
        <x:v>Create one date-aware model for movement and reporting time.</x:v>
      </x:c>
      <x:c r="C3" s="10" t="str">
        <x:v>P0</x:v>
      </x:c>
      <x:c r="D3" s="10" t="str">
        <x:v>REM-011–REM-015</x:v>
      </x:c>
      <x:c r="E3" s="10" t="str">
        <x:v>Do before reporting/documentation claims are finalised.</x:v>
      </x:c>
    </x:row>
    <x:row r="4">
      <x:c r="A4" s="10" t="str">
        <x:v>Release &amp; installed lifecycle</x:v>
      </x:c>
      <x:c r="B4" s="10" t="str">
        <x:v>Bind binary identity to accepted source and prove packaged behaviour.</x:v>
      </x:c>
      <x:c r="C4" s="10" t="str">
        <x:v>P0/P1</x:v>
      </x:c>
      <x:c r="D4" s="10" t="str">
        <x:v>REM-016–REM-019</x:v>
      </x:c>
      <x:c r="E4" s="10" t="str">
        <x:v>No further distributable installer before REM-016/017.</x:v>
      </x:c>
    </x:row>
    <x:row r="5">
      <x:c r="A5" s="10" t="str">
        <x:v>Performance</x:v>
      </x:c>
      <x:c r="B5" s="10" t="str">
        <x:v>Measure real packaged resource use, then optimise evidenced hot paths.</x:v>
      </x:c>
      <x:c r="C5" s="10" t="str">
        <x:v>P1</x:v>
      </x:c>
      <x:c r="D5" s="10" t="str">
        <x:v>REM-025–REM-027</x:v>
      </x:c>
      <x:c r="E5" s="10" t="str">
        <x:v>Operator feedback raises priority; profile first.</x:v>
      </x:c>
    </x:row>
    <x:row r="6">
      <x:c r="A6" s="10" t="str">
        <x:v>Accessibility</x:v>
      </x:c>
      <x:c r="B6" s="10" t="str">
        <x:v>Provide reliable keyboard/focus/AT operation.</x:v>
      </x:c>
      <x:c r="C6" s="10" t="str">
        <x:v>P1/P2</x:v>
      </x:c>
      <x:c r="D6" s="10" t="str">
        <x:v>REM-022–REM-024</x:v>
      </x:c>
      <x:c r="E6" s="10" t="str">
        <x:v>Modal/focus foundation before individual controls.</x:v>
      </x:c>
    </x:row>
    <x:row r="7">
      <x:c r="A7" s="10" t="str">
        <x:v>Security &amp; privacy</x:v>
      </x:c>
      <x:c r="B7" s="10" t="str">
        <x:v>Harden imports, exports and evidence/privacy boundaries.</x:v>
      </x:c>
      <x:c r="C7" s="10" t="str">
        <x:v>P1/P2</x:v>
      </x:c>
      <x:c r="D7" s="10" t="str">
        <x:v>REM-020–REM-021, REM-015</x:v>
      </x:c>
      <x:c r="E7" s="10" t="str">
        <x:v>Coordinate with restore and persistence work.</x:v>
      </x:c>
    </x:row>
    <x:row r="8">
      <x:c r="A8" s="10" t="str">
        <x:v>Documentation</x:v>
      </x:c>
      <x:c r="B8" s="10" t="str">
        <x:v>Make operator and architecture docs reflect accepted product truth.</x:v>
      </x:c>
      <x:c r="C8" s="10" t="str">
        <x:v>P0/P2</x:v>
      </x:c>
      <x:c r="D8" s="10" t="str">
        <x:v>REM-028–REM-029</x:v>
      </x:c>
      <x:c r="E8" s="10" t="str">
        <x:v>Safety-critical docs after underlying behaviour is fixed; authority cleanup can start earlier.</x:v>
      </x:c>
    </x:row>
    <x:row r="9">
      <x:c r="A9" s="10" t="str">
        <x:v>Production UX</x:v>
      </x:c>
      <x:c r="B9" s="10" t="str">
        <x:v>Remove roadmap/prototype content and false success copy.</x:v>
      </x:c>
      <x:c r="C9" s="10" t="str">
        <x:v>P2</x:v>
      </x:c>
      <x:c r="D9" s="10" t="str">
        <x:v>REM-030</x:v>
      </x:c>
      <x:c r="E9" s="10" t="str">
        <x:v>Small clean-up items can be batched after foundational result contracts.</x:v>
      </x:c>
    </x:row>
    <x:row r="10">
      <x:c r="A10" s="10" t="str">
        <x:v>Regression &amp; acceptance</x:v>
      </x:c>
      <x:c r="B10" s="10" t="str">
        <x:v>Turn audit evidence into permanent release gates.</x:v>
      </x:c>
      <x:c r="C10" s="10" t="str">
        <x:v>P0</x:v>
      </x:c>
      <x:c r="D10" s="10" t="str">
        <x:v>REM-031</x:v>
      </x:c>
      <x:c r="E10" s="10" t="str">
        <x:v>Build incrementally alongside each remediation workstream.</x:v>
      </x:c>
    </x:row>
  </x:sheetData>
  <x:pageMargins left="0.7" right="0.7" top="0.75" bottom="0.75" header="0.3" footer="0.3"/>
  <x:tableParts count="1">
    <x:tablePart xmlns:r="http://schemas.openxmlformats.org/officeDocument/2006/relationships" r:id="R5a196101d86845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42" hidden="0" customWidth="1"/>
    <x:col min="5" max="5" width="58" hidden="0" customWidth="1"/>
    <x:col min="6" max="6" width="18" hidden="0" customWidth="1"/>
    <x:col min="7" max="7" width="60" hidden="0" customWidth="1"/>
    <x:col min="8" max="8" width="46" hidden="0" customWidth="1"/>
  </x:cols>
  <x:sheetData>
    <x:row r="1">
      <x:c r="A1" s="5" t="str">
        <x:v>Sequence</x:v>
      </x:c>
      <x:c r="B1" s="5" t="str">
        <x:v>Ticket</x:v>
      </x:c>
      <x:c r="C1" s="5" t="str">
        <x:v>Title</x:v>
      </x:c>
      <x:c r="D1" s="5" t="str">
        <x:v>Why First</x:v>
      </x:c>
      <x:c r="E1" s="5" t="str">
        <x:v>Scope</x:v>
      </x:c>
      <x:c r="F1" s="5" t="str">
        <x:v>Depends On</x:v>
      </x:c>
      <x:c r="G1" s="5" t="str">
        <x:v>Acceptance Criteria</x:v>
      </x:c>
      <x:c r="H1" s="5" t="str">
        <x:v>Do Not Include</x:v>
      </x:c>
    </x:row>
    <x:row r="2">
      <x:c r="A2" s="10" t="n">
        <x:v>1</x:v>
      </x:c>
      <x:c r="B2" s="10" t="str">
        <x:v>T25</x:v>
      </x:c>
      <x:c r="C2" s="10" t="str">
        <x:v>Runtime resource profiling harness</x:v>
      </x:c>
      <x:c r="D2" s="10" t="str">
        <x:v>New field feedback reports noticeable PC slowdown; Audit 8 already identifies candidate hot paths. Measurement should begin immediately and can run in parallel.</x:v>
      </x:c>
      <x:c r="E2" s="10" t="str">
        <x:v>Add opt-in/dev profiling for packaged Flite: process/WebView2 CPU &amp; memory observation procedure, long-task logging, key timer/task counters, render duration and persistence-write counters. Define representative idle/Live Board/history datasets and capture procedure.</x:v>
      </x:c>
      <x:c r="F2" s="10" t="str">
        <x:v>None</x:v>
      </x:c>
      <x:c r="G2" s="10" t="str">
        <x:v>Baseline profile from at least one affected PC and one reference PC; idle and active CPU/RAM captured; recurring long tasks/timers correlated to code paths; no behavioural changes to operational logic.</x:v>
      </x:c>
      <x:c r="H2" s="10" t="str">
        <x:v>Do not optimise based on guesses; do not add permanent telemetry/network collection.</x:v>
      </x:c>
    </x:row>
    <x:row r="3">
      <x:c r="A3" s="10" t="n">
        <x:v>2</x:v>
      </x:c>
      <x:c r="B3" s="10" t="str">
        <x:v>T1</x:v>
      </x:c>
      <x:c r="C3" s="10" t="str">
        <x:v>Result-bearing persistence contract</x:v>
      </x:c>
      <x:c r="D3" s="10" t="str">
        <x:v>Most Critical/High integrity findings stem from callers being unable to know whether localStorage writes succeeded.</x:v>
      </x:c>
      <x:c r="E3" s="10" t="str">
        <x:v>Change storage boundary to return structured success/failure results for write/remove operations. Preserve error diagnostics. Add compatibility adapters as needed, then migrate a small set of core callers without changing domain behaviour.</x:v>
      </x:c>
      <x:c r="F3" s="10" t="str">
        <x:v>None</x:v>
      </x:c>
      <x:c r="G3" s="10" t="str">
        <x:v>Forced storage-unavailable/quota exceptions produce explicit failure results; no caller can interpret a failed write as durable success in migrated paths; tests cover write/remove/JSON failures.</x:v>
      </x:c>
      <x:c r="H3" s="10" t="str">
        <x:v>Do not redesign all domain commands yet; do not change schemas.</x:v>
      </x:c>
    </x:row>
    <x:row r="4">
      <x:c r="A4" s="10" t="n">
        <x:v>3</x:v>
      </x:c>
      <x:c r="B4" s="10" t="str">
        <x:v>T2</x:v>
      </x:c>
      <x:c r="C4" s="10" t="str">
        <x:v>Degraded storage mode</x:v>
      </x:c>
      <x:c r="D4" s="10" t="str">
        <x:v>Once failures are observable, Flite must stop accepting operational changes that cannot persist.</x:v>
      </x:c>
      <x:c r="E4" s="10" t="str">
        <x:v>Introduce an application persistence-health state. If durable storage is unavailable/unusable, block consequential mutations and show clear persistent operator warning; allow safe read-only inspection/export where feasible.</x:v>
      </x:c>
      <x:c r="F4" s="10" t="str">
        <x:v>T1</x:v>
      </x:c>
      <x:c r="G4" s="10" t="str">
        <x:v>Simulated unavailable storage starts/enters degraded mode; New/Edit/Complete/Cancel/Delete/Booking/Calendar/Admin writes are blocked; operator can identify reason and recovery action; recovery after storage restoration is explicit.</x:v>
      </x:c>
      <x:c r="H4" s="10" t="str">
        <x:v>Do not attempt automatic destructive repair of corrupt stores.</x:v>
      </x:c>
    </x:row>
    <x:row r="5">
      <x:c r="A5" s="10" t="n">
        <x:v>4</x:v>
      </x:c>
      <x:c r="B5" s="10" t="str">
        <x:v>T3</x:v>
      </x:c>
      <x:c r="C5" s="10" t="str">
        <x:v>Transactional restore core</x:v>
      </x:c>
      <x:c r="D5" s="10" t="str">
        <x:v>Restore is the highest documentation/data-safety finding and a major systemic risk.</x:v>
      </x:c>
      <x:c r="E5" s="10" t="str">
        <x:v>Create staging/pre-restore snapshot and verified commit/rollback for current-format restore. Every key write must be checked. Failed restore must leave exact pre-restore durable state or exact verified recovery state.</x:v>
      </x:c>
      <x:c r="F5" s="10" t="str">
        <x:v>T1</x:v>
      </x:c>
      <x:c r="G5" s="10" t="str">
        <x:v>Failure injected before/after each static/dynamic key produces no hybrid durable installation; result identifies commit/rollback outcome; successful restore verifies writes before success.</x:v>
      </x:c>
      <x:c r="H5" s="10" t="str">
        <x:v>Do not expand legacy semantics or record validators in this ticket; that follows in T4.</x:v>
      </x:c>
    </x:row>
    <x:row r="6">
      <x:c r="A6" s="10" t="n">
        <x:v>5</x:v>
      </x:c>
      <x:c r="B6" s="10" t="str">
        <x:v>T5</x:v>
      </x:c>
      <x:c r="C6" s="10" t="str">
        <x:v>Authoritative domain command framework</x:v>
      </x:c>
      <x:c r="D6" s="10" t="str">
        <x:v>Multi-store operations are currently orchestrated by UI handlers and repeatedly diverge in validation/audit/persistence policy.</x:v>
      </x:c>
      <x:c r="E6" s="10" t="str">
        <x:v>Introduce command/result abstraction and migrate one representative lifecycle operation end-to-end (recommended: cancellation) through validation → mutation plan → persistence → audit → UI acknowledgement.</x:v>
      </x:c>
      <x:c r="F6" s="10" t="str">
        <x:v>T1</x:v>
      </x:c>
      <x:c r="G6" s="10" t="str">
        <x:v>One consequential operation has a single authoritative path; UI receives structured outcome; failure injection proves no false success; audit event reflects committed outcome only.</x:v>
      </x:c>
      <x:c r="H6" s="10" t="str">
        <x:v>Do not migrate every command in one change.</x:v>
      </x:c>
    </x:row>
    <x:row r="7">
      <x:c r="A7" s="10" t="n">
        <x:v>6</x:v>
      </x:c>
      <x:c r="B7" s="10" t="str">
        <x:v>T9</x:v>
      </x:c>
      <x:c r="C7" s="10" t="str">
        <x:v>Verified cancel/delete/recovery commands</x:v>
      </x:c>
      <x:c r="D7" s="10" t="str">
        <x:v>Cancellation/deletion currently write recovery evidence before primary mutation is proven.</x:v>
      </x:c>
      <x:c r="E7" s="10" t="str">
        <x:v>Using T5 command framework, migrate cancel and soft-delete so primary state, formation/booking side effects, recovery snapshot and audit evidence commit coherently or produce recoverable incomplete state.</x:v>
      </x:c>
      <x:c r="F7" s="10" t="str">
        <x:v>T1, T5</x:v>
      </x:c>
      <x:c r="G7" s="10" t="str">
        <x:v>Injected failures cannot leave active movement plus committed cancellation record, deleted movement without recoverable snapshot, or success UI after failed persistence.</x:v>
      </x:c>
      <x:c r="H7" s="10" t="str">
        <x:v>Do not redesign booking creation yet.</x:v>
      </x:c>
    </x:row>
    <x:row r="8">
      <x:c r="A8" s="10" t="n">
        <x:v>7</x:v>
      </x:c>
      <x:c r="B8" s="10" t="str">
        <x:v>T16</x:v>
      </x:c>
      <x:c r="C8" s="10" t="str">
        <x:v>Release identity gate</x:v>
      </x:c>
      <x:c r="D8" s="10" t="str">
        <x:v>No new distributable build should reuse 0.9.4; this is independent of runtime remediation and release-blocking.</x:v>
      </x:c>
      <x:c r="E8" s="10" t="str">
        <x:v>Advance to a unique pre-V1 version, ensure package.json/Cargo.toml/tauri.conf agree, expose immutable source SHA/build identity in packaged UI/diagnostics/backup provenance.</x:v>
      </x:c>
      <x:c r="F8" s="10" t="str">
        <x:v>None</x:v>
      </x:c>
      <x:c r="G8" s="10" t="str">
        <x:v>Version manifests agree; packaged app displays semantic version + exact source SHA; build from changed source cannot masquerade as public v0.9.4.</x:v>
      </x:c>
      <x:c r="H8" s="10" t="str">
        <x:v>Do not publish a release yet; T17 defines the release workflow.</x:v>
      </x:c>
    </x:row>
  </x:sheetData>
  <x:pageMargins left="0.7" right="0.7" top="0.75" bottom="0.75" header="0.3" footer="0.3"/>
  <x:tableParts count="1">
    <x:tablePart xmlns:r="http://schemas.openxmlformats.org/officeDocument/2006/relationships" r:id="R7a41e4145be54d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  <x:col min="4" max="4" width="18" hidden="0" customWidth="1"/>
  </x:cols>
  <x:sheetData>
    <x:row r="1" ht="28" customHeight="1">
      <x:c r="A1" s="18" t="str">
        <x:v>Vectair Flite — Audit Remediation Programme</x:v>
      </x:c>
      <x:c r="B1" s="10"/>
      <x:c r="C1" s="10"/>
      <x:c r="D1" s="10"/>
    </x:row>
    <x:row r="2">
      <x:c r="A2" s="10"/>
      <x:c r="B2" s="10"/>
      <x:c r="C2" s="10"/>
      <x:c r="D2" s="10"/>
    </x:row>
    <x:row r="3">
      <x:c r="A3" s="19" t="str">
        <x:v>Metric</x:v>
      </x:c>
      <x:c r="B3" s="19" t="str">
        <x:v>Value</x:v>
      </x:c>
      <x:c r="C3" s="10"/>
      <x:c r="D3" s="10"/>
      <x:c r="F3" s="5" t="str">
        <x:v>Priority</x:v>
      </x:c>
      <x:c r="G3" s="5" t="str">
        <x:v>Count</x:v>
      </x:c>
    </x:row>
    <x:row r="4">
      <x:c r="A4" s="10" t="str">
        <x:v>Audit baseline</x:v>
      </x:c>
      <x:c r="B4" s="10" t="str">
        <x:v>cd01c9c</x:v>
      </x:c>
      <x:c r="C4" s="10"/>
      <x:c r="D4" s="10"/>
      <x:c r="F4" t="str">
        <x:v>P0</x:v>
      </x:c>
      <x:c r="G4" t="n">
        <x:f>COUNTIF('Remediation Register'!C2:C32,"P0")</x:f>
        <x:v>14</x:v>
      </x:c>
    </x:row>
    <x:row r="5">
      <x:c r="A5" s="10" t="str">
        <x:v>Planned audits completed</x:v>
      </x:c>
      <x:c r="B5" s="10" t="n">
        <x:v>12</x:v>
      </x:c>
      <x:c r="C5" s="10"/>
      <x:c r="D5" s="10"/>
      <x:c r="F5" t="str">
        <x:v>P1</x:v>
      </x:c>
      <x:c r="G5" t="n">
        <x:f>COUNTIF('Remediation Register'!C2:C32,"P1")</x:f>
        <x:v>12</x:v>
      </x:c>
    </x:row>
    <x:row r="6">
      <x:c r="A6" s="10" t="str">
        <x:v>Remediation items</x:v>
      </x:c>
      <x:c r="B6" s="10" t="n">
        <x:v>31</x:v>
      </x:c>
      <x:c r="C6" s="10"/>
      <x:c r="D6" s="10"/>
      <x:c r="F6" t="str">
        <x:v>P2</x:v>
      </x:c>
      <x:c r="G6" t="n">
        <x:f>COUNTIF('Remediation Register'!C2:C32,"P2")</x:f>
        <x:v>5</x:v>
      </x:c>
    </x:row>
    <x:row r="7">
      <x:c r="A7" s="10" t="str">
        <x:v>P0 items</x:v>
      </x:c>
      <x:c r="B7" s="10" t="n">
        <x:f>COUNTIF('Remediation Register'!C2:C32,"P0")</x:f>
        <x:v>14</x:v>
      </x:c>
      <x:c r="C7" s="10"/>
      <x:c r="D7" s="10"/>
      <x:c r="F7" t="str">
        <x:v>P3</x:v>
      </x:c>
      <x:c r="G7" t="n">
        <x:f>COUNTIF('Remediation Register'!C2:C32,"P3")</x:f>
        <x:v>0</x:v>
      </x:c>
    </x:row>
    <x:row r="8">
      <x:c r="A8" s="10" t="str">
        <x:v>P1 items</x:v>
      </x:c>
      <x:c r="B8" s="10" t="n">
        <x:f>COUNTIF('Remediation Register'!C2:C32,"P1")</x:f>
        <x:v>12</x:v>
      </x:c>
      <x:c r="C8" s="10"/>
      <x:c r="D8" s="10"/>
    </x:row>
    <x:row r="9">
      <x:c r="A9" s="10" t="str">
        <x:v>Immediate first-wave tickets</x:v>
      </x:c>
      <x:c r="B9" s="10" t="n">
        <x:v>7</x:v>
      </x:c>
      <x:c r="C9" s="10"/>
      <x:c r="D9" s="10"/>
    </x:row>
    <x:row r="10">
      <x:c r="A10" s="10" t="str">
        <x:v>Execution principle</x:v>
      </x:c>
      <x:c r="B10" s="10" t="str">
        <x:v>Fix root causes before symptoms</x:v>
      </x:c>
      <x:c r="C10" s="10" t="str">
        <x:v>Release rule</x:v>
      </x:c>
      <x:c r="D10" s="10" t="str">
        <x:v>No new installer until release identity gate is closed</x:v>
      </x:c>
    </x:row>
    <x:row r="11">
      <x:c r="A11" s="10"/>
      <x:c r="B11" s="10"/>
      <x:c r="C11" s="10"/>
      <x:c r="D11" s="10"/>
    </x:row>
    <x:row r="12">
      <x:c r="A12" s="19" t="str">
        <x:v>Immediate order</x:v>
      </x:c>
      <x:c r="B12" s="19" t="str">
        <x:v>Work</x:v>
      </x:c>
      <x:c r="C12" s="19" t="str">
        <x:v>Reason</x:v>
      </x:c>
      <x:c r="D12" s="19" t="str">
        <x:v>Parallel?</x:v>
      </x:c>
    </x:row>
    <x:row r="13">
      <x:c r="A13" s="10" t="n">
        <x:v>1</x:v>
      </x:c>
      <x:c r="B13" s="10" t="str">
        <x:v>Runtime resource profiling</x:v>
      </x:c>
      <x:c r="C13" s="10" t="str">
        <x:v>Field slowdown feedback + Audit 8</x:v>
      </x:c>
      <x:c r="D13" s="10" t="str">
        <x:v>Yes</x:v>
      </x:c>
    </x:row>
    <x:row r="14">
      <x:c r="A14" s="10" t="n">
        <x:v>2</x:v>
      </x:c>
      <x:c r="B14" s="10" t="str">
        <x:v>Persistence result contract</x:v>
      </x:c>
      <x:c r="C14" s="10" t="str">
        <x:v>Foundation for durable truth</x:v>
      </x:c>
      <x:c r="D14" s="10" t="str">
        <x:v>No</x:v>
      </x:c>
    </x:row>
    <x:row r="15">
      <x:c r="A15" s="10" t="n">
        <x:v>3</x:v>
      </x:c>
      <x:c r="B15" s="10" t="str">
        <x:v>Degraded storage mode</x:v>
      </x:c>
      <x:c r="C15" s="10" t="str">
        <x:v>Prevents undurable operational input</x:v>
      </x:c>
      <x:c r="D15" s="10" t="str">
        <x:v>After T1</x:v>
      </x:c>
    </x:row>
    <x:row r="16">
      <x:c r="A16" s="10" t="n">
        <x:v>4</x:v>
      </x:c>
      <x:c r="B16" s="10" t="str">
        <x:v>Transactional restore</x:v>
      </x:c>
      <x:c r="C16" s="10" t="str">
        <x:v>Highest destructive recovery risk</x:v>
      </x:c>
      <x:c r="D16" s="10" t="str">
        <x:v>After T1</x:v>
      </x:c>
    </x:row>
    <x:row r="17">
      <x:c r="A17" s="10" t="n">
        <x:v>5</x:v>
      </x:c>
      <x:c r="B17" s="10" t="str">
        <x:v>Domain command framework</x:v>
      </x:c>
      <x:c r="C17" s="10" t="str">
        <x:v>Fixes multi-store orchestration</x:v>
      </x:c>
      <x:c r="D17" s="10" t="str">
        <x:v>After T1</x:v>
      </x:c>
    </x:row>
    <x:row r="18">
      <x:c r="A18" s="10"/>
      <x:c r="B18" s="10"/>
      <x:c r="C18" s="10"/>
      <x:c r="D18" s="10"/>
    </x:row>
    <x:row r="19">
      <x:c r="A19" s="10"/>
      <x:c r="B19" s="10"/>
      <x:c r="C19" s="10"/>
      <x:c r="D19" s="10"/>
    </x:row>
    <x:row r="20">
      <x:c r="A20" s="10"/>
      <x:c r="B20" s="10"/>
      <x:c r="C20" s="10"/>
      <x:c r="D20" s="10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2c9e1297cd74a6d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0" hidden="0" customWidth="1"/>
    <x:col min="4" max="4" width="16" hidden="0" customWidth="1"/>
    <x:col min="5" max="5" width="18" hidden="0" customWidth="1"/>
    <x:col min="6" max="6" width="28" hidden="0" customWidth="1"/>
    <x:col min="7" max="7" width="20" hidden="0" customWidth="1"/>
    <x:col min="8" max="8" width="45" hidden="0" customWidth="1"/>
  </x:cols>
  <x:sheetData>
    <x:row r="1">
      <x:c r="A1" s="5" t="str">
        <x:v>Register ID</x:v>
      </x:c>
      <x:c r="B1" s="5" t="str">
        <x:v>Decision</x:v>
      </x:c>
      <x:c r="C1" s="5" t="str">
        <x:v>Rationale</x:v>
      </x:c>
      <x:c r="D1" s="5" t="str">
        <x:v>Decision Date</x:v>
      </x:c>
      <x:c r="E1" s="5" t="str">
        <x:v>Approved By</x:v>
      </x:c>
      <x:c r="F1" s="5" t="str">
        <x:v>Linked Commit/Ticket</x:v>
      </x:c>
      <x:c r="G1" s="5" t="str">
        <x:v>Verification Status</x:v>
      </x:c>
      <x:c r="H1" s="5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</x:row>
  </x:sheetData>
  <x:dataValidations count="2">
    <x:dataValidation type="list" sqref="B2:B500">
      <x:formula1>"Fix before V1,Accept for V1,Defer post-V1,Needs evidence"</x:formula1>
    </x:dataValidation>
    <x:dataValidation type="list" sqref="G2:G500">
      <x:formula1>"Not verified,In verification,Verified,Risk accepted"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  <x:col min="3" max="3" width="16" hidden="0" customWidth="1"/>
    <x:col min="4" max="4" width="56" hidden="0" customWidth="1"/>
  </x:cols>
  <x:sheetData>
    <x:row r="1">
      <x:c r="A1" s="19" t="str">
        <x:v>Source</x:v>
      </x:c>
      <x:c r="B1" s="19" t="str">
        <x:v>Repository path / URL</x:v>
      </x:c>
      <x:c r="C1" s="19" t="str">
        <x:v>Baseline</x:v>
      </x:c>
      <x:c r="D1" s="19" t="str">
        <x:v>Purpose</x:v>
      </x:c>
    </x:row>
    <x:row r="2">
      <x:c r="A2" s="10" t="str">
        <x:v>Programme summary</x:v>
      </x:c>
      <x:c r="B2" s="10" t="str">
        <x:v>https://github.com/Vectair/FDMS/blob/cd01c9c/docs/audit.md</x:v>
      </x:c>
      <x:c r="C2" s="10" t="str">
        <x:v>cd01c9c</x:v>
      </x:c>
      <x:c r="D2" s="10" t="str">
        <x:v>Audit status, severity totals, principal findings and remediation direction.</x:v>
      </x:c>
    </x:row>
    <x:row r="3">
      <x:c r="A3" s="10" t="str">
        <x:v>Detailed findings</x:v>
      </x:c>
      <x:c r="B3" s="10" t="str">
        <x:v>https://github.com/Vectair/FDMS/blob/cd01c9c/docs/audit_findings.md</x:v>
      </x:c>
      <x:c r="C3" s="10" t="str">
        <x:v>cd01c9c</x:v>
      </x:c>
      <x:c r="D3" s="10" t="str">
        <x:v>Granular finding evidence and audit-derived acceptance specifications.</x:v>
      </x:c>
    </x:row>
    <x:row r="4">
      <x:c r="A4" s="10" t="str">
        <x:v>Audit 12 completion commit</x:v>
      </x:c>
      <x:c r="B4" s="10" t="str">
        <x:v>https://github.com/Vectair/FDMS/commit/cd01c9c</x:v>
      </x:c>
      <x:c r="C4" s="10" t="str">
        <x:v>cd01c9c</x:v>
      </x:c>
      <x:c r="D4" s="10" t="str">
        <x:v>Frozen remediation-planning baseline.</x:v>
      </x:c>
    </x:row>
    <x:row r="5">
      <x:c r="A5" s="10" t="str">
        <x:v>Public release lineage</x:v>
      </x:c>
      <x:c r="B5" s="10" t="str">
        <x:v>https://github.com/Vectair/FDMS/releases/tag/v0.9.4</x:v>
      </x:c>
      <x:c r="C5" s="10" t="str">
        <x:v>v0.9.4</x:v>
      </x:c>
      <x:c r="D5" s="10" t="str">
        <x:v>Release provenance context from Audits 11–12.</x:v>
      </x:c>
    </x:row>
    <x:row r="6">
      <x:c r="A6" s="10" t="str">
        <x:v>Field feedback</x:v>
      </x:c>
      <x:c r="B6" s="10" t="str">
        <x:v>Conversation, 10 Aug 2026</x:v>
      </x:c>
      <x:c r="C6" s="10" t="str">
        <x:v>N/A</x:v>
      </x:c>
      <x:c r="D6" s="10" t="str">
        <x:v>Flite reportedly causes noticeable slowdown while left open; raises runtime profiling priority.</x:v>
      </x:c>
    </x:row>
  </x:sheetData>
  <x:pageMargins left="0.7" right="0.7" top="0.75" bottom="0.75" header="0.3" footer="0.3"/>
</x:worksheet>
</file>